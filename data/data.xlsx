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a1220f59630b3b/Dokumenter/bachelor/bachelor/data/"/>
    </mc:Choice>
  </mc:AlternateContent>
  <xr:revisionPtr revIDLastSave="47" documentId="13_ncr:1_{4E932B9F-AEF9-460D-8315-BC7BC89A649A}" xr6:coauthVersionLast="47" xr6:coauthVersionMax="47" xr10:uidLastSave="{324E37AF-1A9E-4199-9ABC-6036E2747030}"/>
  <bookViews>
    <workbookView xWindow="-110" yWindow="-110" windowWidth="22780" windowHeight="14540" activeTab="1" xr2:uid="{0350460C-A9DD-48DF-A81B-5E589A54FCB0}"/>
  </bookViews>
  <sheets>
    <sheet name="data" sheetId="4" r:id="rId1"/>
    <sheet name="Danmarks_statistik_inflation" sheetId="7" r:id="rId2"/>
    <sheet name="prisindeks_2015" sheetId="5" r:id="rId3"/>
    <sheet name="prisindeks_2006" sheetId="6" r:id="rId4"/>
  </sheets>
  <definedNames>
    <definedName name="ExternalData_4" localSheetId="0" hidden="1">data!$A$1:$H$4716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A23" i="6"/>
  <c r="B23" i="6"/>
  <c r="A24" i="6"/>
  <c r="B24" i="6"/>
  <c r="A20" i="6"/>
  <c r="B20" i="6"/>
  <c r="B21" i="6" s="1"/>
  <c r="B22" i="6" s="1"/>
  <c r="A21" i="6"/>
  <c r="A22" i="6"/>
  <c r="B3" i="6"/>
  <c r="B4" i="6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08C65BB-9595-4C20-B61E-D15549BA8937}" keepAlive="1" name="Forespørgsel - prisindeks_2006_2023__2 (2)" description="Forbindelse til forespørgslen 'prisindeks_2006_2023__2 (2)' i projektmappen." type="5" refreshedVersion="8" background="1" saveData="1">
    <dbPr connection="Provider=Microsoft.Mashup.OleDb.1;Data Source=$Workbook$;Location=&quot;prisindeks_2006_2023__2 (2)&quot;;Extended Properties=&quot;&quot;" command="SELECT * FROM [prisindeks_2006_2023__2 (2)]"/>
  </connection>
  <connection id="2" xr16:uid="{7935FD43-A99B-4584-81C0-4F2AB4E626B1}" keepAlive="1" name="Query - prisindeks_2006_2023__2" description="Connection to the 'prisindeks_2006_2023__2' query in the workbook." type="5" refreshedVersion="8" background="1" saveData="1">
    <dbPr connection="Provider=Microsoft.Mashup.OleDb.1;Data Source=$Workbook$;Location=prisindeks_2006_2023__2;Extended Properties=&quot;&quot;" command="SELECT * FROM [prisindeks_2006_2023__2]"/>
  </connection>
  <connection id="3" xr16:uid="{D9EC5226-D7DD-41F8-89AA-5CD6E8F363FA}" keepAlive="1" name="Query - prisindeks_2006-2023" description="Connection to the 'prisindeks_2006-2023' query in the workbook." type="5" refreshedVersion="8" background="1" saveData="1">
    <dbPr connection="Provider=Microsoft.Mashup.OleDb.1;Data Source=$Workbook$;Location=prisindeks_2006-2023;Extended Properties=&quot;&quot;" command="SELECT * FROM [prisindeks_2006-2023]"/>
  </connection>
  <connection id="4" xr16:uid="{A6CCCBEB-FA63-4DFF-A0D5-A5DB0C6FE1CC}" keepAlive="1" name="Query - prisindeks_2006-2023 (2)" description="Connection to the 'prisindeks_2006-2023 (2)' query in the workbook." type="5" refreshedVersion="8" background="1" saveData="1">
    <dbPr connection="Provider=Microsoft.Mashup.OleDb.1;Data Source=$Workbook$;Location=&quot;prisindeks_2006-2023 (2)&quot;;Extended Properties=&quot;&quot;" command="SELECT * FROM [prisindeks_2006-2023 (2)]"/>
  </connection>
</connections>
</file>

<file path=xl/sharedStrings.xml><?xml version="1.0" encoding="utf-8"?>
<sst xmlns="http://schemas.openxmlformats.org/spreadsheetml/2006/main" count="9486" uniqueCount="117">
  <si>
    <t>Indkomstgruppe</t>
  </si>
  <si>
    <t>REF_YR</t>
  </si>
  <si>
    <t>01.1</t>
  </si>
  <si>
    <t>Foedevarer</t>
  </si>
  <si>
    <t>01.2</t>
  </si>
  <si>
    <t>Ikke-alkoholiske drikkevarer</t>
  </si>
  <si>
    <t>02.1</t>
  </si>
  <si>
    <t>Alkoholiske drikkevarer</t>
  </si>
  <si>
    <t>02.2</t>
  </si>
  <si>
    <t>Tobak</t>
  </si>
  <si>
    <t>03.1</t>
  </si>
  <si>
    <t>Beklaedning</t>
  </si>
  <si>
    <t>03.2</t>
  </si>
  <si>
    <t>Fodtoej</t>
  </si>
  <si>
    <t>04.1</t>
  </si>
  <si>
    <t>Faktisk husleje</t>
  </si>
  <si>
    <t>04.2</t>
  </si>
  <si>
    <t>Beregnet lejevaerdi af bolig</t>
  </si>
  <si>
    <t>04.3</t>
  </si>
  <si>
    <t>Vedligeholdelse og reparation af bolig</t>
  </si>
  <si>
    <t>04.4</t>
  </si>
  <si>
    <t>Vandforsyning og andre tjenester i forbindelse med boligen</t>
  </si>
  <si>
    <t>04.5</t>
  </si>
  <si>
    <t>Elektricitet, gas og andet braendsel</t>
  </si>
  <si>
    <t>05.1</t>
  </si>
  <si>
    <t>Moebler og boligudstyr, taepper og anden gulvbelgning</t>
  </si>
  <si>
    <t>05.2</t>
  </si>
  <si>
    <t>Boligtekstiler</t>
  </si>
  <si>
    <t>05.3</t>
  </si>
  <si>
    <t>Husholdningsapparater og reparation heraf</t>
  </si>
  <si>
    <t>05.4</t>
  </si>
  <si>
    <t>Glas, service og husholdningsredskaber</t>
  </si>
  <si>
    <t>05.5</t>
  </si>
  <si>
    <t>Vaerktoej og udstyr til hus og have</t>
  </si>
  <si>
    <t>05.6</t>
  </si>
  <si>
    <t>Andre varer og tjenester til husholdningen</t>
  </si>
  <si>
    <t>06.1</t>
  </si>
  <si>
    <t>Medicinske produkter, apparater og medicinsk udstyr</t>
  </si>
  <si>
    <t>06.2</t>
  </si>
  <si>
    <t>Ambulant behandling</t>
  </si>
  <si>
    <t>06.3</t>
  </si>
  <si>
    <t>Hospitalstjenester</t>
  </si>
  <si>
    <t>07.1</t>
  </si>
  <si>
    <t>koeb af koeretoejer</t>
  </si>
  <si>
    <t>07.2</t>
  </si>
  <si>
    <t>Drift af personlige transportmidler</t>
  </si>
  <si>
    <t>07.3</t>
  </si>
  <si>
    <t>Transporttjenester</t>
  </si>
  <si>
    <t>08.1</t>
  </si>
  <si>
    <t>Posttjenester</t>
  </si>
  <si>
    <t>08.2</t>
  </si>
  <si>
    <t>Telefon- og telefaxudstyr</t>
  </si>
  <si>
    <t>08.3</t>
  </si>
  <si>
    <t>Teletjenester</t>
  </si>
  <si>
    <t>09.1</t>
  </si>
  <si>
    <t>Audiovisuelt og fotografisk udstyr og dataudstyr</t>
  </si>
  <si>
    <t>09.2</t>
  </si>
  <si>
    <t>Andre stoerre varige forbrugsgoder til fritids- og kulturaktiviteter</t>
  </si>
  <si>
    <t>09.3</t>
  </si>
  <si>
    <t>Andet tilbehoer og udstyr til fritid, haver og kaeledyr</t>
  </si>
  <si>
    <t>09.4</t>
  </si>
  <si>
    <t>Fritids- og kulturtjenester</t>
  </si>
  <si>
    <t>09.5</t>
  </si>
  <si>
    <t>Aviser, boeger og papirvarer</t>
  </si>
  <si>
    <t>09.6</t>
  </si>
  <si>
    <t>Pakkerejser</t>
  </si>
  <si>
    <t>10.</t>
  </si>
  <si>
    <t>Uddannelse</t>
  </si>
  <si>
    <t>11.1</t>
  </si>
  <si>
    <t>Restauranter, cafeer og kantiner mv.</t>
  </si>
  <si>
    <t>11.2</t>
  </si>
  <si>
    <t>Overnatningsfaciliteter</t>
  </si>
  <si>
    <t>12.1</t>
  </si>
  <si>
    <t>Personlig pleje</t>
  </si>
  <si>
    <t>12.3</t>
  </si>
  <si>
    <t>Andre personlige effekter</t>
  </si>
  <si>
    <t>12.4</t>
  </si>
  <si>
    <t>Daginstitutioner og social forsorg</t>
  </si>
  <si>
    <t>12.5</t>
  </si>
  <si>
    <t>Forsikring</t>
  </si>
  <si>
    <t>12.6</t>
  </si>
  <si>
    <t>Finansielle tjenester</t>
  </si>
  <si>
    <t>12.7</t>
  </si>
  <si>
    <t>Andre tjenester</t>
  </si>
  <si>
    <t>beskrivelse</t>
  </si>
  <si>
    <t>kategori</t>
  </si>
  <si>
    <t>forbrug</t>
  </si>
  <si>
    <t>gns_pris_indeks</t>
  </si>
  <si>
    <t>prisindeks</t>
  </si>
  <si>
    <t>inflation_t_tminus1</t>
  </si>
  <si>
    <t>inflation_t_tplus1</t>
  </si>
  <si>
    <t>Årsgennemsnit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</si>
  <si>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</si>
  <si>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</si>
  <si>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</si>
  <si>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</si>
  <si>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</si>
  <si>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</si>
  <si>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</si>
  <si>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</si>
  <si>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</si>
  <si>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</si>
  <si>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</si>
  <si>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</si>
  <si>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</si>
  <si>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</si>
  <si>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</si>
  <si>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</si>
  <si>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</si>
  <si>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</si>
  <si>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</si>
  <si>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</si>
  <si>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</si>
  <si>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</si>
  <si>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</si>
  <si>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Årstal</t>
  </si>
  <si>
    <t>Årsstigning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</si>
</sst>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1" fillId="0" borderId="0" applyNumberFormat="0" applyBorder="0" applyAlignment="0"/>
  </cellStyleXfs>
  <cellXfs count="13">
    <xf numFmtId="0" fontId="0" fillId="0" borderId="0" xfId="0"/>
    <xf numFmtId="2" fontId="0" fillId="0" borderId="0" xfId="0" applyNumberFormat="1"/>
    <xf numFmtId="0" fontId="0" fillId="2" borderId="1" xfId="0" applyFill="1" applyBorder="1"/>
    <xf numFmtId="0" fontId="0" fillId="0" borderId="0" xfId="0" applyAlignment="1">
      <alignment horizontal="right"/>
    </xf>
    <xf numFmtId="0" fontId="0" fillId="0" borderId="1" xfId="0" applyBorder="1"/>
    <xf numFmtId="0" fontId="1" fillId="0" borderId="0" xfId="1"/>
    <xf numFmtId="0" fontId="3" fillId="0" borderId="0" xfId="1" applyFont="1" applyAlignment="1">
      <alignment horizontal="left"/>
    </xf>
    <xf numFmtId="0" fontId="1" fillId="0" borderId="0" xfId="1" applyAlignment="1">
      <alignment horizontal="right"/>
    </xf>
    <xf numFmtId="1" fontId="1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0" xfId="0" applyNumberFormat="1"/>
    <xf numFmtId="0" fontId="3" fillId="0" borderId="0" xfId="0" applyFont="1" applyAlignment="1">
      <alignment horizontal="left"/>
    </xf>
    <xf numFmtId="0" fontId="4" fillId="0" borderId="0" xfId="0" applyFont="1" applyAlignment="1">
      <alignment wrapText="1"/>
    </xf>
  </cellXfs>
  <cellStyles count="2">
    <cellStyle name="Normal" xfId="0" builtinId="0"/>
    <cellStyle name="Normal 2" xfId="1" xr:uid="{758275FA-9703-45C2-889E-FB07956C1D5C}"/>
  </cellStyles>
  <dxfs count="8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64F06F9D-7A99-4A30-9095-F7C2C48B30A5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6E5052-AA05-4489-B542-257815CA7A39}" name="prisindeks_2006_2023__2_13" displayName="prisindeks_2006_2023__2_13" ref="A1:H4716" tableType="queryTable" totalsRowShown="0">
  <autoFilter ref="A1:H4716" xr:uid="{2E6E5052-AA05-4489-B542-257815CA7A39}"/>
  <tableColumns count="8">
    <tableColumn id="1" xr3:uid="{C1813DC2-061F-4615-B26B-2AC1D173BEAE}" uniqueName="1" name="REF_YR" queryTableFieldId="1" dataDxfId="7"/>
    <tableColumn id="2" xr3:uid="{5624A804-0549-4F5B-96B4-38F7CB0B885C}" uniqueName="2" name="kategori" queryTableFieldId="2" dataDxfId="6"/>
    <tableColumn id="3" xr3:uid="{0EF16FA1-E5F5-42AE-9BF2-A4C96DD1FC6A}" uniqueName="3" name="beskrivelse" queryTableFieldId="3" dataDxfId="5"/>
    <tableColumn id="4" xr3:uid="{7A4043B3-172C-49ED-8ED4-0BE36C6DE193}" uniqueName="4" name="Indkomstgruppe" queryTableFieldId="4" dataDxfId="4"/>
    <tableColumn id="5" xr3:uid="{6089B007-70D7-403F-8B0C-8045CB701FB4}" uniqueName="5" name="forbrug" queryTableFieldId="5" dataDxfId="3"/>
    <tableColumn id="6" xr3:uid="{11C38948-42FD-4945-80AE-1EE55C0993AF}" uniqueName="6" name="gns_pris_indeks" queryTableFieldId="6" dataDxfId="2"/>
    <tableColumn id="7" xr3:uid="{C899F345-71B8-44A6-8C7E-998A385B13AB}" uniqueName="7" name="inflation_t_tminus1" queryTableFieldId="7" dataDxfId="1"/>
    <tableColumn id="8" xr3:uid="{C8F15C3A-AC79-4F07-88E8-95944B6B6114}" uniqueName="8" name="inflation_t_tplus1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A5BAF-FC4D-4B48-80B8-66F02D1220C7}">
  <dimension ref="A1:H4716"/>
  <sheetViews>
    <sheetView topLeftCell="A1212" zoomScale="104" workbookViewId="0">
      <selection activeCell="L1229" sqref="L1229"/>
    </sheetView>
  </sheetViews>
  <sheetFormatPr defaultRowHeight="14.5" x14ac:dyDescent="0.35"/>
  <cols>
    <col min="1" max="1" width="9.36328125" bestFit="1" customWidth="1"/>
    <col min="2" max="2" width="9.81640625" bestFit="1" customWidth="1"/>
    <col min="3" max="3" width="52.36328125" bestFit="1" customWidth="1"/>
    <col min="4" max="4" width="16.90625" bestFit="1" customWidth="1"/>
    <col min="5" max="5" width="9.08984375" bestFit="1" customWidth="1"/>
    <col min="6" max="6" width="16.54296875" bestFit="1" customWidth="1"/>
    <col min="7" max="7" width="19.54296875" bestFit="1" customWidth="1"/>
    <col min="8" max="8" width="17.81640625" bestFit="1" customWidth="1"/>
  </cols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3ADB4-E9B5-4BCE-BE26-3A43F7CE2EA8}">
  <dimension ref="A1:B24"/>
  <sheetViews>
    <sheetView tabSelected="1" workbookViewId="0">
      <selection activeCell="D11" sqref="D11"/>
    </sheetView>
  </sheetViews>
  <sheetFormatPr defaultRowHeight="14.5" x14ac:dyDescent="0.35"/>
  <cols>
    <col min="1" max="1" width="40.7265625" customWidth="1"/>
    <col min="2" max="2" width="12.81640625" customWidth="1"/>
  </cols>
  <sheetData>
    <row r="1" spans="1:2" x14ac:dyDescent="0.35">
      <c r="A1" t="s">
        <v>115</v>
      </c>
      <c r="B1" s="11" t="s">
        <v>116</v>
      </c>
    </row>
    <row r="2" spans="1:2" x14ac:dyDescent="0.35">
      <c r="A2" s="11" t="s">
        <v>93</v>
      </c>
      <c r="B2" s="3">
        <v>2.5</v>
      </c>
    </row>
    <row r="3" spans="1:2" x14ac:dyDescent="0.35">
      <c r="A3" s="11" t="s">
        <v>94</v>
      </c>
      <c r="B3" s="3">
        <v>2.2999999999999998</v>
      </c>
    </row>
    <row r="4" spans="1:2" x14ac:dyDescent="0.35">
      <c r="A4" s="11" t="s">
        <v>95</v>
      </c>
      <c r="B4" s="3">
        <v>1.4</v>
      </c>
    </row>
    <row r="5" spans="1:2" x14ac:dyDescent="0.35">
      <c r="A5" s="11" t="s">
        <v>96</v>
      </c>
      <c r="B5" s="3">
        <v>2</v>
      </c>
    </row>
    <row r="6" spans="1:2" x14ac:dyDescent="0.35">
      <c r="A6" s="11" t="s">
        <v>97</v>
      </c>
      <c r="B6" s="3">
        <v>2</v>
      </c>
    </row>
    <row r="7" spans="1:2" x14ac:dyDescent="0.35">
      <c r="A7" s="11" t="s">
        <v>98</v>
      </c>
      <c r="B7" s="3">
        <v>1.9</v>
      </c>
    </row>
    <row r="8" spans="1:2" x14ac:dyDescent="0.35">
      <c r="A8" s="11" t="s">
        <v>99</v>
      </c>
      <c r="B8" s="3">
        <v>3.8</v>
      </c>
    </row>
    <row r="9" spans="1:2" x14ac:dyDescent="0.35">
      <c r="A9" s="11" t="s">
        <v>100</v>
      </c>
      <c r="B9" s="3">
        <v>2</v>
      </c>
    </row>
    <row r="10" spans="1:2" x14ac:dyDescent="0.35">
      <c r="A10" s="11" t="s">
        <v>101</v>
      </c>
      <c r="B10" s="3">
        <v>2</v>
      </c>
    </row>
    <row r="11" spans="1:2" x14ac:dyDescent="0.35">
      <c r="A11" s="11" t="s">
        <v>102</v>
      </c>
      <c r="B11" s="3">
        <v>2.5</v>
      </c>
    </row>
    <row r="12" spans="1:2" x14ac:dyDescent="0.35">
      <c r="A12" s="11" t="s">
        <v>103</v>
      </c>
      <c r="B12" s="3">
        <v>1.9</v>
      </c>
    </row>
    <row r="13" spans="1:2" x14ac:dyDescent="0.35">
      <c r="A13" s="11" t="s">
        <v>104</v>
      </c>
      <c r="B13" s="3">
        <v>0.9</v>
      </c>
    </row>
    <row r="14" spans="1:2" x14ac:dyDescent="0.35">
      <c r="A14" s="11" t="s">
        <v>105</v>
      </c>
      <c r="B14" s="3">
        <v>0.8</v>
      </c>
    </row>
    <row r="15" spans="1:2" x14ac:dyDescent="0.35">
      <c r="A15" s="11" t="s">
        <v>106</v>
      </c>
      <c r="B15" s="3">
        <v>0.7</v>
      </c>
    </row>
    <row r="16" spans="1:2" x14ac:dyDescent="0.35">
      <c r="A16" s="11" t="s">
        <v>107</v>
      </c>
      <c r="B16" s="3">
        <v>0.5</v>
      </c>
    </row>
    <row r="17" spans="1:2" x14ac:dyDescent="0.35">
      <c r="A17" s="11" t="s">
        <v>108</v>
      </c>
      <c r="B17" s="3">
        <v>1.2</v>
      </c>
    </row>
    <row r="18" spans="1:2" x14ac:dyDescent="0.35">
      <c r="A18" s="11" t="s">
        <v>109</v>
      </c>
      <c r="B18" s="3">
        <v>0.9</v>
      </c>
    </row>
    <row r="19" spans="1:2" x14ac:dyDescent="0.35">
      <c r="A19" s="11" t="s">
        <v>110</v>
      </c>
      <c r="B19" s="3">
        <v>0.9</v>
      </c>
    </row>
    <row r="20" spans="1:2" x14ac:dyDescent="0.35">
      <c r="A20" s="11" t="s">
        <v>111</v>
      </c>
      <c r="B20" s="3">
        <v>0.4</v>
      </c>
    </row>
    <row r="21" spans="1:2" x14ac:dyDescent="0.35">
      <c r="A21" s="11" t="s">
        <v>112</v>
      </c>
      <c r="B21" s="3">
        <v>1.5</v>
      </c>
    </row>
    <row r="22" spans="1:2" x14ac:dyDescent="0.35">
      <c r="A22" s="11" t="s">
        <v>113</v>
      </c>
      <c r="B22" s="3">
        <v>7.7</v>
      </c>
    </row>
    <row r="24" spans="1:2" x14ac:dyDescent="0.35">
      <c r="A24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BC6CC-BBD3-4577-AFBE-D1646BA81309}">
  <dimension ref="A1:C24"/>
  <sheetViews>
    <sheetView workbookViewId="0">
      <selection sqref="A1:B24"/>
    </sheetView>
  </sheetViews>
  <sheetFormatPr defaultRowHeight="14.5" x14ac:dyDescent="0.35"/>
  <cols>
    <col min="2" max="2" width="14.36328125" bestFit="1" customWidth="1"/>
    <col min="3" max="3" width="14.453125" bestFit="1" customWidth="1"/>
  </cols>
  <sheetData>
    <row r="1" spans="1:3" x14ac:dyDescent="0.35">
      <c r="A1" s="5"/>
      <c r="B1" s="6" t="s">
        <v>91</v>
      </c>
      <c r="C1" s="1"/>
    </row>
    <row r="2" spans="1:3" x14ac:dyDescent="0.35">
      <c r="A2" s="6" t="s">
        <v>92</v>
      </c>
      <c r="B2" s="7">
        <v>76.900000000000006</v>
      </c>
      <c r="C2" s="1"/>
    </row>
    <row r="3" spans="1:3" x14ac:dyDescent="0.35">
      <c r="A3" s="6" t="s">
        <v>93</v>
      </c>
      <c r="B3" s="7">
        <v>78.8</v>
      </c>
      <c r="C3" s="1"/>
    </row>
    <row r="4" spans="1:3" x14ac:dyDescent="0.35">
      <c r="A4" s="6" t="s">
        <v>94</v>
      </c>
      <c r="B4" s="7">
        <v>80.599999999999994</v>
      </c>
      <c r="C4" s="1"/>
    </row>
    <row r="5" spans="1:3" x14ac:dyDescent="0.35">
      <c r="A5" s="6" t="s">
        <v>95</v>
      </c>
      <c r="B5" s="7">
        <v>81.7</v>
      </c>
      <c r="C5" s="1"/>
    </row>
    <row r="6" spans="1:3" x14ac:dyDescent="0.35">
      <c r="A6" s="6" t="s">
        <v>96</v>
      </c>
      <c r="B6" s="7">
        <v>83.3</v>
      </c>
      <c r="C6" s="1"/>
    </row>
    <row r="7" spans="1:3" x14ac:dyDescent="0.35">
      <c r="A7" s="6" t="s">
        <v>97</v>
      </c>
      <c r="B7" s="7">
        <v>85</v>
      </c>
      <c r="C7" s="1"/>
    </row>
    <row r="8" spans="1:3" x14ac:dyDescent="0.35">
      <c r="A8" s="6" t="s">
        <v>98</v>
      </c>
      <c r="B8" s="7">
        <v>86.7</v>
      </c>
      <c r="C8" s="1"/>
    </row>
    <row r="9" spans="1:3" x14ac:dyDescent="0.35">
      <c r="A9" s="6" t="s">
        <v>99</v>
      </c>
      <c r="B9" s="7">
        <v>89.9</v>
      </c>
      <c r="C9" s="1"/>
    </row>
    <row r="10" spans="1:3" x14ac:dyDescent="0.35">
      <c r="A10" s="6" t="s">
        <v>100</v>
      </c>
      <c r="B10" s="7">
        <v>91.7</v>
      </c>
      <c r="C10" s="1"/>
    </row>
    <row r="11" spans="1:3" x14ac:dyDescent="0.35">
      <c r="A11" s="6" t="s">
        <v>101</v>
      </c>
      <c r="B11" s="7">
        <v>93.6</v>
      </c>
      <c r="C11" s="1"/>
    </row>
    <row r="12" spans="1:3" x14ac:dyDescent="0.35">
      <c r="A12" s="6" t="s">
        <v>102</v>
      </c>
      <c r="B12" s="7">
        <v>96</v>
      </c>
      <c r="C12" s="1"/>
    </row>
    <row r="13" spans="1:3" x14ac:dyDescent="0.35">
      <c r="A13" s="6" t="s">
        <v>103</v>
      </c>
      <c r="B13" s="7">
        <v>97.8</v>
      </c>
      <c r="C13" s="1"/>
    </row>
    <row r="14" spans="1:3" x14ac:dyDescent="0.35">
      <c r="A14" s="6" t="s">
        <v>104</v>
      </c>
      <c r="B14" s="7">
        <v>98.6</v>
      </c>
      <c r="C14" s="1"/>
    </row>
    <row r="15" spans="1:3" x14ac:dyDescent="0.35">
      <c r="A15" s="6" t="s">
        <v>105</v>
      </c>
      <c r="B15" s="7">
        <v>99.4</v>
      </c>
      <c r="C15" s="1"/>
    </row>
    <row r="16" spans="1:3" x14ac:dyDescent="0.35">
      <c r="A16" s="6" t="s">
        <v>106</v>
      </c>
      <c r="B16" s="7">
        <v>100</v>
      </c>
      <c r="C16" s="1"/>
    </row>
    <row r="17" spans="1:3" x14ac:dyDescent="0.35">
      <c r="A17" s="6" t="s">
        <v>107</v>
      </c>
      <c r="B17" s="7">
        <v>100.5</v>
      </c>
      <c r="C17" s="1"/>
    </row>
    <row r="18" spans="1:3" x14ac:dyDescent="0.35">
      <c r="A18" s="6" t="s">
        <v>108</v>
      </c>
      <c r="B18" s="7">
        <v>101.7</v>
      </c>
      <c r="C18" s="1"/>
    </row>
    <row r="19" spans="1:3" x14ac:dyDescent="0.35">
      <c r="A19" s="6" t="s">
        <v>109</v>
      </c>
      <c r="B19" s="7">
        <v>102.6</v>
      </c>
      <c r="C19" s="1"/>
    </row>
    <row r="20" spans="1:3" x14ac:dyDescent="0.35">
      <c r="A20" s="6" t="s">
        <v>110</v>
      </c>
      <c r="B20" s="7">
        <v>103.5</v>
      </c>
    </row>
    <row r="21" spans="1:3" x14ac:dyDescent="0.35">
      <c r="A21" s="6" t="s">
        <v>111</v>
      </c>
      <c r="B21" s="7">
        <v>103.9</v>
      </c>
    </row>
    <row r="22" spans="1:3" x14ac:dyDescent="0.35">
      <c r="A22" s="6" t="s">
        <v>112</v>
      </c>
      <c r="B22" s="7">
        <v>105.4</v>
      </c>
    </row>
    <row r="23" spans="1:3" x14ac:dyDescent="0.35">
      <c r="A23" s="6" t="s">
        <v>113</v>
      </c>
      <c r="B23" s="7">
        <v>113.5</v>
      </c>
    </row>
    <row r="24" spans="1:3" x14ac:dyDescent="0.35">
      <c r="A24" s="6" t="s">
        <v>114</v>
      </c>
      <c r="B24" s="7">
        <v>118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B1EB-DA51-47D6-8A8A-023565147EB8}">
  <dimension ref="A1:B24"/>
  <sheetViews>
    <sheetView workbookViewId="0">
      <selection activeCell="A2" sqref="A2"/>
    </sheetView>
  </sheetViews>
  <sheetFormatPr defaultRowHeight="14.5" x14ac:dyDescent="0.35"/>
  <sheetData>
    <row r="1" spans="1:2" x14ac:dyDescent="0.35">
      <c r="B1" t="s">
        <v>88</v>
      </c>
    </row>
    <row r="2" spans="1:2" x14ac:dyDescent="0.35">
      <c r="A2" t="str">
        <f>prisindeks_2015!A2</f>
        <v>2001</v>
      </c>
      <c r="B2">
        <v>100</v>
      </c>
    </row>
    <row r="3" spans="1:2" x14ac:dyDescent="0.35">
      <c r="A3" t="str">
        <f>prisindeks_2015!A3</f>
        <v>2002</v>
      </c>
      <c r="B3">
        <f>prisindeks_2015!B3/prisindeks_2015!B2*prisindeks_2006!B2</f>
        <v>102.4707412223667</v>
      </c>
    </row>
    <row r="4" spans="1:2" x14ac:dyDescent="0.35">
      <c r="A4" t="str">
        <f>prisindeks_2015!A4</f>
        <v>2003</v>
      </c>
      <c r="B4">
        <f>prisindeks_2015!B4/prisindeks_2015!B3*prisindeks_2006!B3</f>
        <v>104.81144343302989</v>
      </c>
    </row>
    <row r="5" spans="1:2" x14ac:dyDescent="0.35">
      <c r="A5" t="str">
        <f>prisindeks_2015!A5</f>
        <v>2004</v>
      </c>
      <c r="B5">
        <f>prisindeks_2015!B5/prisindeks_2015!B4*prisindeks_2006!B4</f>
        <v>106.24187256176852</v>
      </c>
    </row>
    <row r="6" spans="1:2" x14ac:dyDescent="0.35">
      <c r="A6" t="str">
        <f>prisindeks_2015!A6</f>
        <v>2005</v>
      </c>
      <c r="B6">
        <f>prisindeks_2015!B6/prisindeks_2015!B5*prisindeks_2006!B5</f>
        <v>108.32249674902468</v>
      </c>
    </row>
    <row r="7" spans="1:2" x14ac:dyDescent="0.35">
      <c r="A7" t="str">
        <f>prisindeks_2015!A7</f>
        <v>2006</v>
      </c>
      <c r="B7">
        <f>prisindeks_2015!B7/prisindeks_2015!B6*prisindeks_2006!B6</f>
        <v>110.53315994798437</v>
      </c>
    </row>
    <row r="8" spans="1:2" x14ac:dyDescent="0.35">
      <c r="A8" t="str">
        <f>prisindeks_2015!A8</f>
        <v>2007</v>
      </c>
      <c r="B8">
        <f>prisindeks_2015!B8/prisindeks_2015!B7*prisindeks_2006!B7</f>
        <v>112.74382314694407</v>
      </c>
    </row>
    <row r="9" spans="1:2" x14ac:dyDescent="0.35">
      <c r="A9" t="str">
        <f>prisindeks_2015!A9</f>
        <v>2008</v>
      </c>
      <c r="B9">
        <f>prisindeks_2015!B9/prisindeks_2015!B8*prisindeks_2006!B8</f>
        <v>116.90507152145642</v>
      </c>
    </row>
    <row r="10" spans="1:2" x14ac:dyDescent="0.35">
      <c r="A10" t="str">
        <f>prisindeks_2015!A10</f>
        <v>2009</v>
      </c>
      <c r="B10">
        <f>prisindeks_2015!B10/prisindeks_2015!B9*prisindeks_2006!B9</f>
        <v>119.24577373211962</v>
      </c>
    </row>
    <row r="11" spans="1:2" x14ac:dyDescent="0.35">
      <c r="A11" t="str">
        <f>prisindeks_2015!A11</f>
        <v>2010</v>
      </c>
      <c r="B11">
        <f>prisindeks_2015!B11/prisindeks_2015!B10*prisindeks_2006!B10</f>
        <v>121.71651495448631</v>
      </c>
    </row>
    <row r="12" spans="1:2" x14ac:dyDescent="0.35">
      <c r="A12" t="str">
        <f>prisindeks_2015!A12</f>
        <v>2011</v>
      </c>
      <c r="B12">
        <f>prisindeks_2015!B12/prisindeks_2015!B11*prisindeks_2006!B11</f>
        <v>124.83745123537059</v>
      </c>
    </row>
    <row r="13" spans="1:2" x14ac:dyDescent="0.35">
      <c r="A13" t="str">
        <f>prisindeks_2015!A13</f>
        <v>2012</v>
      </c>
      <c r="B13">
        <f>prisindeks_2015!B13/prisindeks_2015!B12*prisindeks_2006!B12</f>
        <v>127.1781534460338</v>
      </c>
    </row>
    <row r="14" spans="1:2" x14ac:dyDescent="0.35">
      <c r="A14" t="str">
        <f>prisindeks_2015!A14</f>
        <v>2013</v>
      </c>
      <c r="B14">
        <f>prisindeks_2015!B14/prisindeks_2015!B13*prisindeks_2006!B13</f>
        <v>128.21846553966191</v>
      </c>
    </row>
    <row r="15" spans="1:2" x14ac:dyDescent="0.35">
      <c r="A15" t="str">
        <f>prisindeks_2015!A15</f>
        <v>2014</v>
      </c>
      <c r="B15">
        <f>prisindeks_2015!B15/prisindeks_2015!B14*prisindeks_2006!B14</f>
        <v>129.25877763329001</v>
      </c>
    </row>
    <row r="16" spans="1:2" x14ac:dyDescent="0.35">
      <c r="A16" t="str">
        <f>prisindeks_2015!A16</f>
        <v>2015</v>
      </c>
      <c r="B16">
        <f>prisindeks_2015!B16/prisindeks_2015!B15*prisindeks_2006!B15</f>
        <v>130.03901170351108</v>
      </c>
    </row>
    <row r="17" spans="1:2" x14ac:dyDescent="0.35">
      <c r="A17" t="str">
        <f>prisindeks_2015!A17</f>
        <v>2016</v>
      </c>
      <c r="B17">
        <f>prisindeks_2015!B17/prisindeks_2015!B16*prisindeks_2006!B16</f>
        <v>130.68920676202862</v>
      </c>
    </row>
    <row r="18" spans="1:2" x14ac:dyDescent="0.35">
      <c r="A18" t="str">
        <f>prisindeks_2015!A18</f>
        <v>2017</v>
      </c>
      <c r="B18">
        <f>prisindeks_2015!B18/prisindeks_2015!B17*prisindeks_2006!B17</f>
        <v>132.24967490247076</v>
      </c>
    </row>
    <row r="19" spans="1:2" x14ac:dyDescent="0.35">
      <c r="A19" t="str">
        <f>prisindeks_2015!A19</f>
        <v>2018</v>
      </c>
      <c r="B19">
        <f>prisindeks_2015!B19/prisindeks_2015!B18*prisindeks_2006!B18</f>
        <v>133.42002600780236</v>
      </c>
    </row>
    <row r="20" spans="1:2" x14ac:dyDescent="0.35">
      <c r="A20" t="str">
        <f>prisindeks_2015!A20</f>
        <v>2019</v>
      </c>
      <c r="B20">
        <f>prisindeks_2015!B20/prisindeks_2015!B19*prisindeks_2006!B19</f>
        <v>134.59037711313397</v>
      </c>
    </row>
    <row r="21" spans="1:2" x14ac:dyDescent="0.35">
      <c r="A21" t="str">
        <f>prisindeks_2015!A21</f>
        <v>2020</v>
      </c>
      <c r="B21">
        <f>prisindeks_2015!B21/prisindeks_2015!B20*prisindeks_2006!B20</f>
        <v>135.11053315994803</v>
      </c>
    </row>
    <row r="22" spans="1:2" x14ac:dyDescent="0.35">
      <c r="A22" t="str">
        <f>prisindeks_2015!A22</f>
        <v>2021</v>
      </c>
      <c r="B22">
        <f>prisindeks_2015!B22/prisindeks_2015!B21*prisindeks_2006!B21</f>
        <v>137.06111833550071</v>
      </c>
    </row>
    <row r="23" spans="1:2" x14ac:dyDescent="0.35">
      <c r="A23" t="str">
        <f>prisindeks_2015!A23</f>
        <v>2022</v>
      </c>
      <c r="B23">
        <f>prisindeks_2015!B23/prisindeks_2015!B22*prisindeks_2006!B22</f>
        <v>147.59427828348512</v>
      </c>
    </row>
    <row r="24" spans="1:2" x14ac:dyDescent="0.35">
      <c r="A24" t="str">
        <f>prisindeks_2015!A24</f>
        <v>2023</v>
      </c>
      <c r="B24">
        <f>prisindeks_2015!B24/prisindeks_2015!B23*prisindeks_2006!B23</f>
        <v>153.44603381014315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BE723D-C826-4E24-8C9B-4C1D35414C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data</vt:lpstr>
      <vt:lpstr>Danmarks_statistik_inflation</vt:lpstr>
      <vt:lpstr>prisindeks_2015</vt:lpstr>
      <vt:lpstr>prisindeks_2006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Roost</dc:creator>
  <cp:lastModifiedBy>Andreas Roost</cp:lastModifiedBy>
  <dcterms:created xsi:type="dcterms:W3CDTF">2025-02-25T10:00:43Z</dcterms:created>
  <dcterms:modified xsi:type="dcterms:W3CDTF">2025-05-19T14:32:04Z</dcterms:modified>
</cp:coreProperties>
</file>